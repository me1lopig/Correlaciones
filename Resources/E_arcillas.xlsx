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esarrollo\Python\Correlaciones\Resources\"/>
    </mc:Choice>
  </mc:AlternateContent>
  <xr:revisionPtr revIDLastSave="0" documentId="8_{D5B508F8-C7A9-4B1F-98F5-BBC807C639E1}" xr6:coauthVersionLast="47" xr6:coauthVersionMax="47" xr10:uidLastSave="{00000000-0000-0000-0000-000000000000}"/>
  <bookViews>
    <workbookView xWindow="-120" yWindow="-120" windowWidth="20730" windowHeight="11160" xr2:uid="{9FBD7E4D-26E2-4F0D-AB25-B3D2F7F9C812}"/>
  </bookViews>
  <sheets>
    <sheet name="E-&gt;Mod Elasticidad Arcilla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1" i="2"/>
  <c r="D20" i="2"/>
  <c r="D19" i="2"/>
  <c r="D18" i="2"/>
  <c r="D17" i="2"/>
  <c r="D16" i="2"/>
  <c r="D15" i="2"/>
  <c r="D14" i="2"/>
  <c r="D13" i="2"/>
  <c r="D12" i="2"/>
  <c r="D11" i="2"/>
  <c r="D10" i="2"/>
</calcChain>
</file>

<file path=xl/sharedStrings.xml><?xml version="1.0" encoding="utf-8"?>
<sst xmlns="http://schemas.openxmlformats.org/spreadsheetml/2006/main" count="59" uniqueCount="37">
  <si>
    <t>Símbolo</t>
  </si>
  <si>
    <t>Descripción</t>
  </si>
  <si>
    <t>Valor</t>
  </si>
  <si>
    <t>unidad</t>
  </si>
  <si>
    <t>IP</t>
  </si>
  <si>
    <t>Índice de plasticidad</t>
  </si>
  <si>
    <t>%</t>
  </si>
  <si>
    <t>Nspt</t>
  </si>
  <si>
    <t>Golpeo ensayo SPT</t>
  </si>
  <si>
    <t>golpeos</t>
  </si>
  <si>
    <t>Cu</t>
  </si>
  <si>
    <t>Cohesión sin drenaje</t>
  </si>
  <si>
    <t>kPa</t>
  </si>
  <si>
    <t>ATENCIÓN SE USAN VARIAS PROCEDENCIAS DE PARÁMETROS, Cu y el conjunto (Nspt,IP)</t>
  </si>
  <si>
    <t>Tabla de estimación de valores de E para arcillas</t>
  </si>
  <si>
    <t>ID</t>
  </si>
  <si>
    <t>Autor</t>
  </si>
  <si>
    <t>Aplicación</t>
  </si>
  <si>
    <t>E (MPa)</t>
  </si>
  <si>
    <t>Parámetros</t>
  </si>
  <si>
    <t>Stroud, 1974 limite superior</t>
  </si>
  <si>
    <t>Arcillas</t>
  </si>
  <si>
    <t>Nspt,IP</t>
  </si>
  <si>
    <t>Stroud, 1974 limite inferior</t>
  </si>
  <si>
    <t>Stroud y Buttler</t>
  </si>
  <si>
    <t>Arcillas media platicidad</t>
  </si>
  <si>
    <t>Arcillas de baja plasticidad</t>
  </si>
  <si>
    <t>CTE-DB-SE-C, TABLA F,2</t>
  </si>
  <si>
    <t>IP&lt;30, OCR&lt;3</t>
  </si>
  <si>
    <t>IP&lt;30, 3&lt;OCR&lt;5</t>
  </si>
  <si>
    <t>IP&lt;30, OCR&gt;5</t>
  </si>
  <si>
    <t>30&lt;IP&lt;50, OCR&lt;3</t>
  </si>
  <si>
    <t>30&lt;IP&lt;50, 3&lt;OCR&lt;5</t>
  </si>
  <si>
    <t>30&lt;IP&lt;50, OCR&gt;5</t>
  </si>
  <si>
    <t>IP&gt;50, OCR&lt;3</t>
  </si>
  <si>
    <t>IP&gt;50, 3&lt;OCR&lt;5</t>
  </si>
  <si>
    <t>IP&gt;50, OCR&gt;5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</si>
</sst>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2" borderId="1" xfId="1" applyFill="1" applyBorder="1"/>
    <xf numFmtId="0" fontId="1" fillId="0" borderId="0" xfId="1"/>
    <xf numFmtId="0" fontId="1" fillId="0" borderId="2" xfId="1" applyBorder="1"/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2" fillId="0" borderId="0" xfId="1" applyFont="1"/>
    <xf numFmtId="0" fontId="1" fillId="3" borderId="0" xfId="1" applyFill="1" applyAlignment="1">
      <alignment horizontal="center"/>
    </xf>
    <xf numFmtId="0" fontId="1" fillId="4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C93D8AF5-BB09-4E3C-B18F-6BF4367A67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CAD0-288F-4C0E-B415-8C186581012C}">
  <dimension ref="A1:E22"/>
  <sheetViews>
    <sheetView tabSelected="1" workbookViewId="0">
      <selection activeCell="D20" sqref="D20"/>
    </sheetView>
  </sheetViews>
  <sheetFormatPr baseColWidth="10" defaultColWidth="12.5703125" defaultRowHeight="15.75" x14ac:dyDescent="0.25"/>
  <cols>
    <col min="1" max="1" width="12.5703125" style="2"/>
    <col min="2" max="2" width="33.28515625" style="2" bestFit="1" customWidth="1"/>
    <col min="3" max="3" width="36.140625" style="2" bestFit="1" customWidth="1"/>
    <col min="4" max="4" width="10.42578125" style="2" bestFit="1" customWidth="1"/>
    <col min="5" max="16384" width="12.57031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3" t="s">
        <v>4</v>
      </c>
      <c r="B2" s="3" t="s">
        <v>5</v>
      </c>
      <c r="C2" s="3">
        <v>23</v>
      </c>
      <c r="D2" s="4" t="s">
        <v>6</v>
      </c>
    </row>
    <row r="3" spans="1:5" x14ac:dyDescent="0.25">
      <c r="A3" s="3" t="s">
        <v>7</v>
      </c>
      <c r="B3" s="3" t="s">
        <v>8</v>
      </c>
      <c r="C3" s="3">
        <v>30</v>
      </c>
      <c r="D3" s="4" t="s">
        <v>9</v>
      </c>
    </row>
    <row r="4" spans="1:5" x14ac:dyDescent="0.25">
      <c r="A4" s="3" t="s">
        <v>10</v>
      </c>
      <c r="B4" s="3" t="s">
        <v>11</v>
      </c>
      <c r="C4" s="3">
        <v>200</v>
      </c>
      <c r="D4" s="5" t="s">
        <v>12</v>
      </c>
    </row>
    <row r="6" spans="1:5" x14ac:dyDescent="0.25">
      <c r="B6" s="6" t="s">
        <v>13</v>
      </c>
    </row>
    <row r="8" spans="1:5" x14ac:dyDescent="0.25">
      <c r="A8" s="7" t="s">
        <v>14</v>
      </c>
      <c r="B8" s="7"/>
      <c r="C8" s="7"/>
      <c r="D8" s="7"/>
      <c r="E8" s="7"/>
    </row>
    <row r="9" spans="1:5" x14ac:dyDescent="0.25">
      <c r="A9" s="8" t="s">
        <v>15</v>
      </c>
      <c r="B9" s="8" t="s">
        <v>16</v>
      </c>
      <c r="C9" s="8" t="s">
        <v>17</v>
      </c>
      <c r="D9" s="8" t="s">
        <v>18</v>
      </c>
      <c r="E9" s="8" t="s">
        <v>19</v>
      </c>
    </row>
    <row r="10" spans="1:5" x14ac:dyDescent="0.25">
      <c r="A10" s="9">
        <v>1</v>
      </c>
      <c r="B10" s="9" t="s">
        <v>20</v>
      </c>
      <c r="C10" s="9" t="s">
        <v>21</v>
      </c>
      <c r="D10" s="10">
        <f>C3*(-0.0081*C2^3+1.732*C2^2-127*C2+3703)/1000</f>
        <v>47.990258999999995</v>
      </c>
      <c r="E10" s="11" t="s">
        <v>22</v>
      </c>
    </row>
    <row r="11" spans="1:5" x14ac:dyDescent="0.25">
      <c r="A11" s="9">
        <v>2</v>
      </c>
      <c r="B11" s="9" t="s">
        <v>23</v>
      </c>
      <c r="C11" s="9" t="s">
        <v>21</v>
      </c>
      <c r="D11" s="10">
        <f>C3*(-0.0031*C2^3+0.8591*C2^2-72.041*C2+2410)/1000</f>
        <v>35.094096000000008</v>
      </c>
      <c r="E11" s="11" t="s">
        <v>22</v>
      </c>
    </row>
    <row r="12" spans="1:5" x14ac:dyDescent="0.25">
      <c r="A12" s="9">
        <v>3</v>
      </c>
      <c r="B12" s="9" t="s">
        <v>24</v>
      </c>
      <c r="C12" s="9" t="s">
        <v>25</v>
      </c>
      <c r="D12" s="10">
        <f>5*C3*98.1/1000</f>
        <v>14.715</v>
      </c>
      <c r="E12" s="11" t="s">
        <v>7</v>
      </c>
    </row>
    <row r="13" spans="1:5" x14ac:dyDescent="0.25">
      <c r="A13" s="9">
        <v>4</v>
      </c>
      <c r="B13" s="9" t="s">
        <v>24</v>
      </c>
      <c r="C13" s="9" t="s">
        <v>26</v>
      </c>
      <c r="D13" s="10">
        <f>6*C3*98.1/1000</f>
        <v>17.658000000000001</v>
      </c>
      <c r="E13" s="11" t="s">
        <v>7</v>
      </c>
    </row>
    <row r="14" spans="1:5" x14ac:dyDescent="0.25">
      <c r="A14" s="9">
        <v>3</v>
      </c>
      <c r="B14" s="9" t="s">
        <v>27</v>
      </c>
      <c r="C14" s="9" t="s">
        <v>28</v>
      </c>
      <c r="D14" s="10">
        <f>800*C4/1000</f>
        <v>160</v>
      </c>
      <c r="E14" s="2" t="s">
        <v>4</v>
      </c>
    </row>
    <row r="15" spans="1:5" x14ac:dyDescent="0.25">
      <c r="A15" s="9">
        <v>4</v>
      </c>
      <c r="B15" s="9" t="s">
        <v>27</v>
      </c>
      <c r="C15" s="9" t="s">
        <v>29</v>
      </c>
      <c r="D15" s="10">
        <f>600*C4/1000</f>
        <v>120</v>
      </c>
      <c r="E15" s="2" t="s">
        <v>10</v>
      </c>
    </row>
    <row r="16" spans="1:5" x14ac:dyDescent="0.25">
      <c r="A16" s="9">
        <v>5</v>
      </c>
      <c r="B16" s="9" t="s">
        <v>27</v>
      </c>
      <c r="C16" s="9" t="s">
        <v>30</v>
      </c>
      <c r="D16" s="10">
        <f>300*C4/1000</f>
        <v>60</v>
      </c>
      <c r="E16" s="2" t="s">
        <v>10</v>
      </c>
    </row>
    <row r="17" spans="1:5" x14ac:dyDescent="0.25">
      <c r="A17" s="9">
        <v>6</v>
      </c>
      <c r="B17" s="9" t="s">
        <v>27</v>
      </c>
      <c r="C17" s="9" t="s">
        <v>31</v>
      </c>
      <c r="D17" s="10">
        <f>350*C4/1000</f>
        <v>70</v>
      </c>
      <c r="E17" s="2" t="s">
        <v>10</v>
      </c>
    </row>
    <row r="18" spans="1:5" x14ac:dyDescent="0.25">
      <c r="A18" s="9">
        <v>7</v>
      </c>
      <c r="B18" s="9" t="s">
        <v>27</v>
      </c>
      <c r="C18" s="9" t="s">
        <v>32</v>
      </c>
      <c r="D18" s="10">
        <f>250*C4/1000</f>
        <v>50</v>
      </c>
      <c r="E18" s="2" t="s">
        <v>10</v>
      </c>
    </row>
    <row r="19" spans="1:5" x14ac:dyDescent="0.25">
      <c r="A19" s="9">
        <v>8</v>
      </c>
      <c r="B19" s="9" t="s">
        <v>27</v>
      </c>
      <c r="C19" s="9" t="s">
        <v>33</v>
      </c>
      <c r="D19" s="10">
        <f>130*C4/1000</f>
        <v>26</v>
      </c>
      <c r="E19" s="2" t="s">
        <v>10</v>
      </c>
    </row>
    <row r="20" spans="1:5" x14ac:dyDescent="0.25">
      <c r="A20" s="9">
        <v>9</v>
      </c>
      <c r="B20" s="9" t="s">
        <v>27</v>
      </c>
      <c r="C20" s="9" t="s">
        <v>34</v>
      </c>
      <c r="D20" s="10">
        <f>150*C4/1000</f>
        <v>30</v>
      </c>
      <c r="E20" s="2" t="s">
        <v>10</v>
      </c>
    </row>
    <row r="21" spans="1:5" x14ac:dyDescent="0.25">
      <c r="A21" s="9">
        <v>10</v>
      </c>
      <c r="B21" s="9" t="s">
        <v>27</v>
      </c>
      <c r="C21" s="9" t="s">
        <v>35</v>
      </c>
      <c r="D21" s="10">
        <f>100*C4/1000</f>
        <v>20</v>
      </c>
      <c r="E21" s="2" t="s">
        <v>10</v>
      </c>
    </row>
    <row r="22" spans="1:5" x14ac:dyDescent="0.25">
      <c r="A22" s="12">
        <v>11</v>
      </c>
      <c r="B22" s="9" t="s">
        <v>27</v>
      </c>
      <c r="C22" s="9" t="s">
        <v>36</v>
      </c>
      <c r="D22" s="10">
        <f>50*C4/1000</f>
        <v>10</v>
      </c>
      <c r="E22" s="2" t="s">
        <v>10</v>
      </c>
    </row>
  </sheetData>
  <sheetProtection algorithmName="SHA-512" hashValue="BA3xQDwsNyX2aR8XeTxiS81i8a4QGnpk5//+epKy64Xii+A5mRxIuE5QC1ZnMtRu9VHPuAnD6ctODXM+QVw8lw==" saltValue="CkNumjHbqNt5O3KKH6M2bQ==" spinCount="100000" sheet="1" objects="1" scenarios="1"/>
  <protectedRanges>
    <protectedRange sqref="C2:C4" name="Rango1"/>
  </protectedRanges>
  <mergeCells count="1"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6C19-3EB0-4B70-82FD-40DAA6EC9D8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E-&gt;Mod Elasticidad Arcillas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 López Pineda</dc:creator>
  <cp:lastModifiedBy>Germán  López Pineda</cp:lastModifiedBy>
  <dcterms:created xsi:type="dcterms:W3CDTF">2026-02-11T21:41:28Z</dcterms:created>
  <dcterms:modified xsi:type="dcterms:W3CDTF">2026-02-11T21:42:28Z</dcterms:modified>
</cp:coreProperties>
</file>